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n/Git Repos/game bot/"/>
    </mc:Choice>
  </mc:AlternateContent>
  <xr:revisionPtr revIDLastSave="0" documentId="8_{B7085F95-80DB-EB4C-82A7-B62AE6D91322}" xr6:coauthVersionLast="47" xr6:coauthVersionMax="47" xr10:uidLastSave="{00000000-0000-0000-0000-000000000000}"/>
  <bookViews>
    <workbookView xWindow="7620" yWindow="1960" windowWidth="27760" windowHeight="20240" tabRatio="500" xr2:uid="{00000000-000D-0000-FFFF-FFFF00000000}"/>
  </bookViews>
  <sheets>
    <sheet name="Task Breakdown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D21" i="1"/>
  <c r="D30" i="1" s="1"/>
</calcChain>
</file>

<file path=xl/sharedStrings.xml><?xml version="1.0" encoding="utf-8"?>
<sst xmlns="http://schemas.openxmlformats.org/spreadsheetml/2006/main" count="130" uniqueCount="76">
  <si>
    <t>Category</t>
  </si>
  <si>
    <t>Task</t>
  </si>
  <si>
    <t>Est. Hours</t>
  </si>
  <si>
    <t>Priority</t>
  </si>
  <si>
    <t>Notes / Dependencies</t>
  </si>
  <si>
    <t>Scope</t>
  </si>
  <si>
    <t>Channel Consolidation</t>
  </si>
  <si>
    <t>Remove routing logic for rising, popular, approved list, and trending channels</t>
  </si>
  <si>
    <t>High</t>
  </si>
  <si>
    <t>Touches channel ID configs and .env variables</t>
  </si>
  <si>
    <t>In Scope</t>
  </si>
  <si>
    <t>Retain only 'game requests' and 'new submissions' channels</t>
  </si>
  <si>
    <t>Keep archive channel with 14-day auto-move logic intact</t>
  </si>
  <si>
    <t>Update all environment variable references and Discord server channel setup</t>
  </si>
  <si>
    <t>Coordinate with Leon to archive/delete old channels on server</t>
  </si>
  <si>
    <t>Sorting &amp; Filtering</t>
  </si>
  <si>
    <t>Implement periodic bot function to re-order posts by vote count</t>
  </si>
  <si>
    <t>Medium</t>
  </si>
  <si>
    <t>Discord API does not allow bots to reorder threads/forum posts — replaced by /top command</t>
  </si>
  <si>
    <t>Out of Scope</t>
  </si>
  <si>
    <t>Create pinned message explaining how to filter by game name</t>
  </si>
  <si>
    <t>Low</t>
  </si>
  <si>
    <t>Simple channel pin — no code required</t>
  </si>
  <si>
    <t>Add /top slash command posting a ranked list of games on demand</t>
  </si>
  <si>
    <t>Optional but improves UX significantly</t>
  </si>
  <si>
    <t>Single-Step Submission</t>
  </si>
  <si>
    <t>Redesign modal to fit all fields (language, title, link, familiarity, pay) within Discord's 5-field limit</t>
  </si>
  <si>
    <t>Language dropdown cannot go inside a Discord modal; workaround: text input or pre-modal select</t>
  </si>
  <si>
    <t>Remove 'continue to step 2' button and its interaction handler</t>
  </si>
  <si>
    <t>Clean up dead code paths</t>
  </si>
  <si>
    <t>End-to-end testing of the new single-step flow</t>
  </si>
  <si>
    <t>Test on private channel before go-live</t>
  </si>
  <si>
    <t>Reset Command</t>
  </si>
  <si>
    <t>Add admin-only /reset slash command</t>
  </si>
  <si>
    <t>Restrict to admin role; confirm prompt before executing</t>
  </si>
  <si>
    <t>Clear vote data from bot internal state on reset</t>
  </si>
  <si>
    <t>Ensure all in-memory and persisted state is wiped</t>
  </si>
  <si>
    <t>Wipe / create fresh tab in the connected Google Sheet on reset</t>
  </si>
  <si>
    <t>Preserve sheet structure; only clear data rows</t>
  </si>
  <si>
    <t>Auto Data Export</t>
  </si>
  <si>
    <t>Add vote threshold check on every vote event</t>
  </si>
  <si>
    <t>Trigger when game first crosses 100 votes</t>
  </si>
  <si>
    <t>Generate clean game summary (title, link, language, vote breakdown, pay stats)</t>
  </si>
  <si>
    <t>Format for presentation to game developers</t>
  </si>
  <si>
    <t>Post summary to private admin channel or new Google Sheet tab</t>
  </si>
  <si>
    <t>Confirm destination with Leon — Google Sheets preferred</t>
  </si>
  <si>
    <t>Bug Fixes &amp; QA</t>
  </si>
  <si>
    <t>Diagnose and fix rising/popular threshold logic not triggering correctly</t>
  </si>
  <si>
    <t>e.g. Hollow Knight not moving to rising despite sufficient votes</t>
  </si>
  <si>
    <t>General code review and cleanup of removed channel logic</t>
  </si>
  <si>
    <t>Remove dead env vars, orphan handlers, and stale comments</t>
  </si>
  <si>
    <t>Full end-to-end QA on private Discord channel</t>
  </si>
  <si>
    <t>Daniel to be added to Leon's server for testing</t>
  </si>
  <si>
    <t>Deploy updated bot to Render and confirm stable operation</t>
  </si>
  <si>
    <t>Verify bot stays online; check Render logs post-deploy</t>
  </si>
  <si>
    <t>TOTAL ESTIMATED HOURS</t>
  </si>
  <si>
    <t>BUFFER &amp; CONTINGENCY</t>
  </si>
  <si>
    <t>B1</t>
  </si>
  <si>
    <t>Environment Setup &amp; Onboarding</t>
  </si>
  <si>
    <t>Initial codebase review, local setup, Render access, Google Sheets auth, Discord dev portal config</t>
  </si>
  <si>
    <t>One-time cost; needed before any dev work begins</t>
  </si>
  <si>
    <t>B2</t>
  </si>
  <si>
    <t>Integration Testing</t>
  </si>
  <si>
    <t>Test all modified flows together (submission → vote → export → reset) in a controlled server environment</t>
  </si>
  <si>
    <t>Requires Daniel to be added to Leon's Discord server</t>
  </si>
  <si>
    <t>B3</t>
  </si>
  <si>
    <t>Bug Fix Buffer</t>
  </si>
  <si>
    <t>Contingency for unexpected issues discovered during QA or integration testing</t>
  </si>
  <si>
    <t>Standard 15–20% buffer on a project of this size</t>
  </si>
  <si>
    <t>B4</t>
  </si>
  <si>
    <t>Deployment &amp; Handover</t>
  </si>
  <si>
    <t>Final deploy to Render, smoke test on live server, handover notes to Leon</t>
  </si>
  <si>
    <t>Includes documenting any new env vars or slash commands added</t>
  </si>
  <si>
    <t>BUFFER SUBTOTAL</t>
  </si>
  <si>
    <t>GRAND TOTAL (Tasks + Buffer)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</si>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</sst>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hrs&quot;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1A5276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i/>
      <sz val="10"/>
      <color rgb="FF595959"/>
      <name val="Arial"/>
      <family val="2"/>
    </font>
    <font>
      <b/>
      <sz val="10"/>
      <color rgb="FF375623"/>
      <name val="Arial"/>
      <family val="2"/>
    </font>
    <font>
      <b/>
      <sz val="10"/>
      <color rgb="FF1E8449"/>
      <name val="Arial"/>
      <family val="2"/>
    </font>
    <font>
      <b/>
      <sz val="10"/>
      <color rgb="FFED7D31"/>
      <name val="Arial"/>
      <family val="2"/>
    </font>
    <font>
      <b/>
      <sz val="10"/>
      <color rgb="FF7D6608"/>
      <name val="Arial"/>
      <family val="2"/>
    </font>
    <font>
      <b/>
      <sz val="10"/>
      <color rgb="FF922B21"/>
      <name val="Arial"/>
      <family val="2"/>
    </font>
    <font>
      <b/>
      <sz val="10"/>
      <color rgb="FF1D6A39"/>
      <name val="Arial"/>
      <family val="2"/>
    </font>
    <font>
      <b/>
      <sz val="10"/>
      <color rgb="FF6C2F4E"/>
      <name val="Arial"/>
      <family val="2"/>
    </font>
    <font>
      <b/>
      <sz val="10"/>
      <color rgb="FF404040"/>
      <name val="Arial"/>
      <family val="2"/>
    </font>
    <font>
      <b/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D4"/>
      </patternFill>
    </fill>
    <fill>
      <patternFill patternType="solid">
        <fgColor rgb="FFEAD1DC"/>
        <bgColor rgb="FFCCCCCC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4" fillId="2" borderId="2" xfId="0" applyFont="1" applyFill="1" applyBorder="1" applyAlignment="1">
      <alignment horizontal="right" vertical="center"/>
    </xf>
    <xf numFmtId="0" fontId="1" fillId="9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" fillId="9" borderId="1" xfId="0" applyFont="1" applyFill="1" applyBorder="1" applyAlignment="1">
      <alignment horizontal="right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A39"/>
      <rgbColor rgb="FF000080"/>
      <rgbColor rgb="FF7D6608"/>
      <rgbColor rgb="FF800080"/>
      <rgbColor rgb="FF008080"/>
      <rgbColor rgb="FFCCCCCC"/>
      <rgbColor rgb="FF808080"/>
      <rgbColor rgb="FF9999FF"/>
      <rgbColor rgb="FF6C2F4E"/>
      <rgbColor rgb="FFFFF2CC"/>
      <rgbColor rgb="FFD5E8D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A5276"/>
      <rgbColor rgb="FF1E8449"/>
      <rgbColor rgb="FF003300"/>
      <rgbColor rgb="FF375623"/>
      <rgbColor rgb="FF922B21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50" zoomScaleNormal="100" workbookViewId="0">
      <pane ySplit="1" topLeftCell="A2" activePane="bottomLeft" state="frozen"/>
      <selection pane="bottomLeft" activeCell="E6" sqref="E6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52" customWidth="1"/>
    <col min="4" max="4" width="13" customWidth="1"/>
    <col min="5" max="5" width="11" customWidth="1"/>
    <col min="6" max="6" width="40" customWidth="1"/>
    <col min="7" max="7" width="18" customWidth="1"/>
    <col min="8" max="8" width="22" customWidth="1"/>
  </cols>
  <sheetData>
    <row r="1" spans="1:7" ht="27.75" customHeight="1" x14ac:dyDescent="0.2">
      <c r="A1" s="3" t="s">
        <v>75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36" customHeight="1" x14ac:dyDescent="0.2">
      <c r="A2" s="4">
        <v>1</v>
      </c>
      <c r="B2" s="5" t="s">
        <v>6</v>
      </c>
      <c r="C2" s="6" t="s">
        <v>7</v>
      </c>
      <c r="D2" s="7">
        <v>1</v>
      </c>
      <c r="E2" s="8" t="s">
        <v>8</v>
      </c>
      <c r="F2" s="9" t="s">
        <v>9</v>
      </c>
      <c r="G2" s="10" t="s">
        <v>10</v>
      </c>
    </row>
    <row r="3" spans="1:7" ht="36" customHeight="1" x14ac:dyDescent="0.2">
      <c r="A3" s="4">
        <v>2</v>
      </c>
      <c r="B3" s="5" t="s">
        <v>6</v>
      </c>
      <c r="C3" s="6" t="s">
        <v>11</v>
      </c>
      <c r="D3" s="7">
        <v>1</v>
      </c>
      <c r="E3" s="8" t="s">
        <v>8</v>
      </c>
      <c r="F3" s="9" t="s">
        <v>12</v>
      </c>
      <c r="G3" s="10" t="s">
        <v>10</v>
      </c>
    </row>
    <row r="4" spans="1:7" ht="36" customHeight="1" x14ac:dyDescent="0.2">
      <c r="A4" s="4">
        <v>3</v>
      </c>
      <c r="B4" s="5" t="s">
        <v>6</v>
      </c>
      <c r="C4" s="6" t="s">
        <v>13</v>
      </c>
      <c r="D4" s="7">
        <v>1</v>
      </c>
      <c r="E4" s="8" t="s">
        <v>8</v>
      </c>
      <c r="F4" s="9" t="s">
        <v>14</v>
      </c>
      <c r="G4" s="10" t="s">
        <v>10</v>
      </c>
    </row>
    <row r="5" spans="1:7" ht="36" customHeight="1" x14ac:dyDescent="0.2">
      <c r="A5" s="11">
        <v>4</v>
      </c>
      <c r="B5" s="12" t="s">
        <v>15</v>
      </c>
      <c r="C5" s="13" t="s">
        <v>16</v>
      </c>
      <c r="D5" s="14">
        <v>2</v>
      </c>
      <c r="E5" s="15" t="s">
        <v>17</v>
      </c>
      <c r="F5" s="16" t="s">
        <v>18</v>
      </c>
      <c r="G5" s="17" t="s">
        <v>19</v>
      </c>
    </row>
    <row r="6" spans="1:7" ht="36" customHeight="1" x14ac:dyDescent="0.2">
      <c r="A6" s="11">
        <v>5</v>
      </c>
      <c r="B6" s="12" t="s">
        <v>15</v>
      </c>
      <c r="C6" s="13" t="s">
        <v>20</v>
      </c>
      <c r="D6" s="14">
        <v>0.5</v>
      </c>
      <c r="E6" s="18" t="s">
        <v>21</v>
      </c>
      <c r="F6" s="16" t="s">
        <v>22</v>
      </c>
      <c r="G6" s="18" t="s">
        <v>10</v>
      </c>
    </row>
    <row r="7" spans="1:7" ht="36" customHeight="1" x14ac:dyDescent="0.2">
      <c r="A7" s="11">
        <v>6</v>
      </c>
      <c r="B7" s="12" t="s">
        <v>15</v>
      </c>
      <c r="C7" s="13" t="s">
        <v>23</v>
      </c>
      <c r="D7" s="14">
        <v>1.5</v>
      </c>
      <c r="E7" s="15" t="s">
        <v>17</v>
      </c>
      <c r="F7" s="16" t="s">
        <v>24</v>
      </c>
      <c r="G7" s="18" t="s">
        <v>10</v>
      </c>
    </row>
    <row r="8" spans="1:7" ht="36" customHeight="1" x14ac:dyDescent="0.2">
      <c r="A8" s="19">
        <v>7</v>
      </c>
      <c r="B8" s="20" t="s">
        <v>25</v>
      </c>
      <c r="C8" s="21" t="s">
        <v>26</v>
      </c>
      <c r="D8" s="22">
        <v>2</v>
      </c>
      <c r="E8" s="23" t="s">
        <v>8</v>
      </c>
      <c r="F8" s="24" t="s">
        <v>27</v>
      </c>
      <c r="G8" s="25" t="s">
        <v>10</v>
      </c>
    </row>
    <row r="9" spans="1:7" ht="36" customHeight="1" x14ac:dyDescent="0.2">
      <c r="A9" s="19">
        <v>8</v>
      </c>
      <c r="B9" s="20" t="s">
        <v>25</v>
      </c>
      <c r="C9" s="21" t="s">
        <v>28</v>
      </c>
      <c r="D9" s="22">
        <v>0.5</v>
      </c>
      <c r="E9" s="23" t="s">
        <v>8</v>
      </c>
      <c r="F9" s="24" t="s">
        <v>29</v>
      </c>
      <c r="G9" s="25" t="s">
        <v>10</v>
      </c>
    </row>
    <row r="10" spans="1:7" ht="36" customHeight="1" x14ac:dyDescent="0.2">
      <c r="A10" s="19">
        <v>9</v>
      </c>
      <c r="B10" s="20" t="s">
        <v>25</v>
      </c>
      <c r="C10" s="21" t="s">
        <v>30</v>
      </c>
      <c r="D10" s="22">
        <v>0.5</v>
      </c>
      <c r="E10" s="23" t="s">
        <v>8</v>
      </c>
      <c r="F10" s="24" t="s">
        <v>31</v>
      </c>
      <c r="G10" s="25" t="s">
        <v>10</v>
      </c>
    </row>
    <row r="11" spans="1:7" ht="36" customHeight="1" x14ac:dyDescent="0.2">
      <c r="A11" s="26">
        <v>10</v>
      </c>
      <c r="B11" s="27" t="s">
        <v>32</v>
      </c>
      <c r="C11" s="28" t="s">
        <v>33</v>
      </c>
      <c r="D11" s="29">
        <v>1</v>
      </c>
      <c r="E11" s="30" t="s">
        <v>8</v>
      </c>
      <c r="F11" s="31" t="s">
        <v>34</v>
      </c>
      <c r="G11" s="32" t="s">
        <v>10</v>
      </c>
    </row>
    <row r="12" spans="1:7" ht="36" customHeight="1" x14ac:dyDescent="0.2">
      <c r="A12" s="26">
        <v>11</v>
      </c>
      <c r="B12" s="27" t="s">
        <v>32</v>
      </c>
      <c r="C12" s="28" t="s">
        <v>35</v>
      </c>
      <c r="D12" s="29">
        <v>0.5</v>
      </c>
      <c r="E12" s="30" t="s">
        <v>8</v>
      </c>
      <c r="F12" s="31" t="s">
        <v>36</v>
      </c>
      <c r="G12" s="32" t="s">
        <v>10</v>
      </c>
    </row>
    <row r="13" spans="1:7" ht="36" customHeight="1" x14ac:dyDescent="0.2">
      <c r="A13" s="26">
        <v>12</v>
      </c>
      <c r="B13" s="27" t="s">
        <v>32</v>
      </c>
      <c r="C13" s="28" t="s">
        <v>37</v>
      </c>
      <c r="D13" s="29">
        <v>0.5</v>
      </c>
      <c r="E13" s="30" t="s">
        <v>8</v>
      </c>
      <c r="F13" s="31" t="s">
        <v>38</v>
      </c>
      <c r="G13" s="32" t="s">
        <v>10</v>
      </c>
    </row>
    <row r="14" spans="1:7" ht="36" customHeight="1" x14ac:dyDescent="0.2">
      <c r="A14" s="33">
        <v>13</v>
      </c>
      <c r="B14" s="34" t="s">
        <v>39</v>
      </c>
      <c r="C14" s="35" t="s">
        <v>40</v>
      </c>
      <c r="D14" s="36">
        <v>0.5</v>
      </c>
      <c r="E14" s="37" t="s">
        <v>17</v>
      </c>
      <c r="F14" s="38" t="s">
        <v>41</v>
      </c>
      <c r="G14" s="39" t="s">
        <v>10</v>
      </c>
    </row>
    <row r="15" spans="1:7" ht="36" customHeight="1" x14ac:dyDescent="0.2">
      <c r="A15" s="33">
        <v>14</v>
      </c>
      <c r="B15" s="34" t="s">
        <v>39</v>
      </c>
      <c r="C15" s="35" t="s">
        <v>42</v>
      </c>
      <c r="D15" s="36">
        <v>1.5</v>
      </c>
      <c r="E15" s="37" t="s">
        <v>17</v>
      </c>
      <c r="F15" s="38" t="s">
        <v>43</v>
      </c>
      <c r="G15" s="39" t="s">
        <v>10</v>
      </c>
    </row>
    <row r="16" spans="1:7" ht="36" customHeight="1" x14ac:dyDescent="0.2">
      <c r="A16" s="33">
        <v>15</v>
      </c>
      <c r="B16" s="34" t="s">
        <v>39</v>
      </c>
      <c r="C16" s="35" t="s">
        <v>44</v>
      </c>
      <c r="D16" s="36">
        <v>1</v>
      </c>
      <c r="E16" s="37" t="s">
        <v>17</v>
      </c>
      <c r="F16" s="38" t="s">
        <v>45</v>
      </c>
      <c r="G16" s="39" t="s">
        <v>10</v>
      </c>
    </row>
    <row r="17" spans="1:7" ht="36" customHeight="1" x14ac:dyDescent="0.2">
      <c r="A17" s="40">
        <v>16</v>
      </c>
      <c r="B17" s="41" t="s">
        <v>46</v>
      </c>
      <c r="C17" s="42" t="s">
        <v>47</v>
      </c>
      <c r="D17" s="43">
        <v>1.5</v>
      </c>
      <c r="E17" s="44" t="s">
        <v>8</v>
      </c>
      <c r="F17" s="45" t="s">
        <v>48</v>
      </c>
      <c r="G17" s="46" t="s">
        <v>10</v>
      </c>
    </row>
    <row r="18" spans="1:7" ht="36" customHeight="1" x14ac:dyDescent="0.2">
      <c r="A18" s="40">
        <v>17</v>
      </c>
      <c r="B18" s="41" t="s">
        <v>46</v>
      </c>
      <c r="C18" s="42" t="s">
        <v>49</v>
      </c>
      <c r="D18" s="43">
        <v>1</v>
      </c>
      <c r="E18" s="47" t="s">
        <v>17</v>
      </c>
      <c r="F18" s="45" t="s">
        <v>50</v>
      </c>
      <c r="G18" s="46" t="s">
        <v>10</v>
      </c>
    </row>
    <row r="19" spans="1:7" ht="36" customHeight="1" x14ac:dyDescent="0.2">
      <c r="A19" s="40">
        <v>18</v>
      </c>
      <c r="B19" s="41" t="s">
        <v>46</v>
      </c>
      <c r="C19" s="42" t="s">
        <v>51</v>
      </c>
      <c r="D19" s="43">
        <v>1.5</v>
      </c>
      <c r="E19" s="44" t="s">
        <v>8</v>
      </c>
      <c r="F19" s="45" t="s">
        <v>52</v>
      </c>
      <c r="G19" s="46" t="s">
        <v>10</v>
      </c>
    </row>
    <row r="20" spans="1:7" ht="36" customHeight="1" x14ac:dyDescent="0.2">
      <c r="A20" s="40">
        <v>19</v>
      </c>
      <c r="B20" s="41" t="s">
        <v>46</v>
      </c>
      <c r="C20" s="42" t="s">
        <v>53</v>
      </c>
      <c r="D20" s="43">
        <v>0.5</v>
      </c>
      <c r="E20" s="44" t="s">
        <v>8</v>
      </c>
      <c r="F20" s="45" t="s">
        <v>54</v>
      </c>
      <c r="G20" s="46" t="s">
        <v>10</v>
      </c>
    </row>
    <row r="21" spans="1:7" ht="27.75" customHeight="1" x14ac:dyDescent="0.2">
      <c r="A21" s="48"/>
      <c r="B21" s="48"/>
      <c r="C21" s="49" t="s">
        <v>55</v>
      </c>
      <c r="D21" s="50">
        <f>SUM(D2:D20)</f>
        <v>19.5</v>
      </c>
      <c r="E21" s="51"/>
      <c r="F21" s="51"/>
      <c r="G21" s="51"/>
    </row>
    <row r="23" spans="1:7" ht="25.5" customHeight="1" x14ac:dyDescent="0.2">
      <c r="A23" s="2" t="s">
        <v>56</v>
      </c>
      <c r="B23" s="2"/>
      <c r="C23" s="2"/>
      <c r="D23" s="2"/>
      <c r="E23" s="2"/>
      <c r="F23" s="2"/>
      <c r="G23" s="2"/>
    </row>
    <row r="24" spans="1:7" ht="36" customHeight="1" x14ac:dyDescent="0.2">
      <c r="A24" s="52" t="s">
        <v>57</v>
      </c>
      <c r="B24" s="53" t="s">
        <v>58</v>
      </c>
      <c r="C24" s="54" t="s">
        <v>59</v>
      </c>
      <c r="D24" s="55">
        <v>3</v>
      </c>
      <c r="E24" s="56" t="s">
        <v>8</v>
      </c>
      <c r="F24" s="57" t="s">
        <v>60</v>
      </c>
      <c r="G24" s="58" t="s">
        <v>10</v>
      </c>
    </row>
    <row r="25" spans="1:7" ht="36" customHeight="1" x14ac:dyDescent="0.2">
      <c r="A25" s="52" t="s">
        <v>61</v>
      </c>
      <c r="B25" s="53" t="s">
        <v>62</v>
      </c>
      <c r="C25" s="54" t="s">
        <v>63</v>
      </c>
      <c r="D25" s="55">
        <v>2</v>
      </c>
      <c r="E25" s="56" t="s">
        <v>8</v>
      </c>
      <c r="F25" s="57" t="s">
        <v>64</v>
      </c>
      <c r="G25" s="58" t="s">
        <v>10</v>
      </c>
    </row>
    <row r="26" spans="1:7" ht="36" customHeight="1" x14ac:dyDescent="0.2">
      <c r="A26" s="52" t="s">
        <v>65</v>
      </c>
      <c r="B26" s="53" t="s">
        <v>66</v>
      </c>
      <c r="C26" s="54" t="s">
        <v>67</v>
      </c>
      <c r="D26" s="55">
        <v>2</v>
      </c>
      <c r="E26" s="59" t="s">
        <v>17</v>
      </c>
      <c r="F26" s="57" t="s">
        <v>68</v>
      </c>
      <c r="G26" s="58" t="s">
        <v>10</v>
      </c>
    </row>
    <row r="27" spans="1:7" ht="36" customHeight="1" x14ac:dyDescent="0.2">
      <c r="A27" s="52" t="s">
        <v>69</v>
      </c>
      <c r="B27" s="53" t="s">
        <v>70</v>
      </c>
      <c r="C27" s="54" t="s">
        <v>71</v>
      </c>
      <c r="D27" s="55">
        <v>1</v>
      </c>
      <c r="E27" s="56" t="s">
        <v>8</v>
      </c>
      <c r="F27" s="57" t="s">
        <v>72</v>
      </c>
      <c r="G27" s="58" t="s">
        <v>10</v>
      </c>
    </row>
    <row r="28" spans="1:7" ht="25.5" customHeight="1" x14ac:dyDescent="0.2">
      <c r="A28" s="60"/>
      <c r="B28" s="60"/>
      <c r="C28" s="61" t="s">
        <v>73</v>
      </c>
      <c r="D28" s="62">
        <f>SUM(D24:D27)</f>
        <v>8</v>
      </c>
      <c r="E28" s="60"/>
      <c r="F28" s="60"/>
      <c r="G28" s="60"/>
    </row>
    <row r="30" spans="1:7" ht="30" customHeight="1" x14ac:dyDescent="0.2">
      <c r="A30" s="1" t="s">
        <v>74</v>
      </c>
      <c r="B30" s="1"/>
      <c r="C30" s="1"/>
      <c r="D30" s="63">
        <f>D21+D28</f>
        <v>27.5</v>
      </c>
      <c r="E30" s="51"/>
      <c r="F30" s="51"/>
      <c r="G30" s="51"/>
    </row>
  </sheetData>
  <mergeCells count="2">
    <mergeCell ref="A23:G23"/>
    <mergeCell ref="A30:C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Silver</cp:lastModifiedBy>
  <cp:revision>0</cp:revision>
  <dcterms:created xsi:type="dcterms:W3CDTF">2026-05-07T09:34:18Z</dcterms:created>
  <dcterms:modified xsi:type="dcterms:W3CDTF">2026-05-12T05:10:53Z</dcterms:modified>
  <dc:language>en-US</dc:language>
</cp:coreProperties>
</file>